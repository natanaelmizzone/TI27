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natanael_smizzone_senacsp_edu_br/Documents/Documentos/Aulas GUTO/16-10-2025/"/>
    </mc:Choice>
  </mc:AlternateContent>
  <xr:revisionPtr revIDLastSave="298" documentId="13_ncr:1_{F96459D9-D334-47D3-AF19-8041F94735C2}" xr6:coauthVersionLast="47" xr6:coauthVersionMax="47" xr10:uidLastSave="{DE8DD60B-5F77-4C94-B5BC-5AB863000495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E24" i="1"/>
  <c r="E33" i="1"/>
  <c r="E34" i="1"/>
  <c r="E35" i="1"/>
  <c r="E36" i="1"/>
  <c r="E32" i="1"/>
  <c r="D32" i="1"/>
  <c r="C33" i="1"/>
  <c r="C34" i="1"/>
  <c r="C35" i="1"/>
  <c r="C36" i="1"/>
  <c r="C32" i="1"/>
  <c r="D33" i="1"/>
  <c r="D34" i="1"/>
  <c r="D35" i="1"/>
  <c r="D36" i="1"/>
  <c r="F18" i="1"/>
  <c r="F19" i="1"/>
  <c r="F20" i="1"/>
  <c r="F21" i="1"/>
  <c r="F17" i="1"/>
  <c r="E18" i="1"/>
  <c r="E19" i="1"/>
  <c r="E20" i="1"/>
  <c r="E21" i="1"/>
  <c r="E17" i="1"/>
</calcChain>
</file>

<file path=xl/sharedStrings.xml><?xml version="1.0" encoding="utf-8"?>
<sst xmlns="http://schemas.openxmlformats.org/spreadsheetml/2006/main" count="42" uniqueCount="29">
  <si>
    <t>Data da Venda</t>
  </si>
  <si>
    <t>Nota Fiscal</t>
  </si>
  <si>
    <t>Nome do Cliente</t>
  </si>
  <si>
    <t>Produto</t>
  </si>
  <si>
    <t>Quantidade</t>
  </si>
  <si>
    <t>Vendedor</t>
  </si>
  <si>
    <t>Capa de banco de carro</t>
  </si>
  <si>
    <t>Botão de comando para vidro elétrico</t>
  </si>
  <si>
    <t>Kit de borrachas de vedação</t>
  </si>
  <si>
    <t>Código</t>
  </si>
  <si>
    <t>Preço</t>
  </si>
  <si>
    <t>Vendedores</t>
  </si>
  <si>
    <t>Fábio Augusto</t>
  </si>
  <si>
    <t>Pedro Ricardo</t>
  </si>
  <si>
    <t>Comissão</t>
  </si>
  <si>
    <t>Luiz Fernando</t>
  </si>
  <si>
    <t>Carlos Roberto</t>
  </si>
  <si>
    <t>Casa de Peças Líder</t>
  </si>
  <si>
    <t>Mercado Kar</t>
  </si>
  <si>
    <t>Autopeças Kola</t>
  </si>
  <si>
    <t>Mix Autopeças</t>
  </si>
  <si>
    <t>Apoio de braço</t>
  </si>
  <si>
    <t>Tapete automotivo universal</t>
  </si>
  <si>
    <t>Qtd. Vendida</t>
  </si>
  <si>
    <t>Faturamento</t>
  </si>
  <si>
    <t>Total</t>
  </si>
  <si>
    <t>Fabio</t>
  </si>
  <si>
    <t>Código Produto</t>
  </si>
  <si>
    <t>Total 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</si>
</sst>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medium">
        <color theme="4" tint="0.59996337778862885"/>
      </left>
      <right style="thin">
        <color theme="4" tint="0.79995117038483843"/>
      </right>
      <top style="medium">
        <color theme="4" tint="0.59996337778862885"/>
      </top>
      <bottom style="thin">
        <color theme="4" tint="0.79995117038483843"/>
      </bottom>
      <diagonal/>
    </border>
    <border>
      <left style="thin">
        <color theme="4" tint="0.79995117038483843"/>
      </left>
      <right style="thin">
        <color theme="4" tint="0.79995117038483843"/>
      </right>
      <top style="medium">
        <color theme="4" tint="0.59996337778862885"/>
      </top>
      <bottom style="thin">
        <color theme="4" tint="0.79995117038483843"/>
      </bottom>
      <diagonal/>
    </border>
    <border>
      <left style="thin">
        <color theme="4" tint="0.79995117038483843"/>
      </left>
      <right style="medium">
        <color theme="4" tint="0.59996337778862885"/>
      </right>
      <top style="medium">
        <color theme="4" tint="0.59996337778862885"/>
      </top>
      <bottom style="thin">
        <color theme="4" tint="0.79995117038483843"/>
      </bottom>
      <diagonal/>
    </border>
    <border>
      <left style="medium">
        <color theme="4" tint="0.59996337778862885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thin">
        <color theme="4" tint="0.79995117038483843"/>
      </left>
      <right style="medium">
        <color theme="4" tint="0.59996337778862885"/>
      </right>
      <top style="thin">
        <color theme="4" tint="0.79995117038483843"/>
      </top>
      <bottom style="thin">
        <color theme="4" tint="0.79995117038483843"/>
      </bottom>
      <diagonal/>
    </border>
    <border>
      <left style="medium">
        <color theme="4" tint="0.59996337778862885"/>
      </left>
      <right style="thin">
        <color theme="4" tint="0.79995117038483843"/>
      </right>
      <top style="thin">
        <color theme="4" tint="0.79995117038483843"/>
      </top>
      <bottom style="medium">
        <color theme="4" tint="0.59996337778862885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medium">
        <color theme="4" tint="0.59996337778862885"/>
      </bottom>
      <diagonal/>
    </border>
    <border>
      <left style="thin">
        <color theme="4" tint="0.79995117038483843"/>
      </left>
      <right style="medium">
        <color theme="4" tint="0.59996337778862885"/>
      </right>
      <top style="thin">
        <color theme="4" tint="0.79995117038483843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 applyAlignment="1">
      <alignment horizontal="center" wrapText="1"/>
    </xf>
    <xf numFmtId="0" fontId="0" fillId="0" borderId="0" xfId="0" applyBorder="1"/>
    <xf numFmtId="0" fontId="0" fillId="0" borderId="0" xfId="0" applyNumberFormat="1"/>
    <xf numFmtId="0" fontId="0" fillId="0" borderId="0" xfId="0" applyNumberFormat="1" applyFill="1" applyBorder="1" applyAlignment="1">
      <alignment horizontal="center" wrapText="1"/>
    </xf>
    <xf numFmtId="165" fontId="0" fillId="0" borderId="0" xfId="0" applyNumberFormat="1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165" fontId="0" fillId="3" borderId="1" xfId="0" applyNumberForma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165" fontId="0" fillId="0" borderId="6" xfId="0" applyNumberFormat="1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65" fontId="0" fillId="0" borderId="8" xfId="0" applyNumberFormat="1" applyBorder="1" applyAlignment="1">
      <alignment horizont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wrapText="1"/>
    </xf>
    <xf numFmtId="0" fontId="0" fillId="0" borderId="10" xfId="0" applyNumberFormat="1" applyBorder="1" applyAlignment="1">
      <alignment horizontal="center" wrapText="1"/>
    </xf>
    <xf numFmtId="165" fontId="0" fillId="3" borderId="10" xfId="0" applyNumberFormat="1" applyFill="1" applyBorder="1" applyAlignment="1">
      <alignment horizontal="center" wrapText="1"/>
    </xf>
    <xf numFmtId="0" fontId="0" fillId="3" borderId="10" xfId="0" applyNumberForma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1" xfId="0" applyNumberFormat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1" xfId="0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0" fillId="3" borderId="18" xfId="0" applyNumberFormat="1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14" fontId="0" fillId="3" borderId="10" xfId="0" applyNumberFormat="1" applyFill="1" applyBorder="1" applyAlignment="1">
      <alignment horizontal="center" wrapText="1"/>
    </xf>
    <xf numFmtId="14" fontId="0" fillId="0" borderId="10" xfId="0" applyNumberFormat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165" fontId="0" fillId="0" borderId="16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I5" sqref="I5"/>
    </sheetView>
  </sheetViews>
  <sheetFormatPr defaultRowHeight="15" x14ac:dyDescent="0.25"/>
  <cols>
    <col min="1" max="1" width="15.5703125" customWidth="1"/>
    <col min="2" max="2" width="34.85546875" bestFit="1" customWidth="1"/>
    <col min="3" max="3" width="13.42578125" customWidth="1"/>
    <col min="4" max="4" width="18.140625" bestFit="1" customWidth="1"/>
    <col min="5" max="5" width="12.7109375" bestFit="1" customWidth="1"/>
    <col min="6" max="6" width="12.42578125" bestFit="1" customWidth="1"/>
    <col min="7" max="7" width="11.7109375" bestFit="1" customWidth="1"/>
    <col min="8" max="8" width="34.85546875" bestFit="1" customWidth="1"/>
  </cols>
  <sheetData>
    <row r="2" spans="1:7" x14ac:dyDescent="0.25">
      <c r="A2" s="2"/>
      <c r="B2" s="37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</row>
    <row r="3" spans="1:7" x14ac:dyDescent="0.25">
      <c r="A3" s="2"/>
      <c r="B3" s="49">
        <v>43347</v>
      </c>
      <c r="C3" s="25">
        <v>2301245</v>
      </c>
      <c r="D3" s="25" t="s">
        <v>17</v>
      </c>
      <c r="E3" s="25">
        <v>2455</v>
      </c>
      <c r="F3" s="25">
        <v>22</v>
      </c>
      <c r="G3" s="25">
        <v>18</v>
      </c>
    </row>
    <row r="4" spans="1:7" x14ac:dyDescent="0.25">
      <c r="A4" s="2"/>
      <c r="B4" s="50">
        <v>43348</v>
      </c>
      <c r="C4" s="26">
        <v>2301280</v>
      </c>
      <c r="D4" s="26" t="s">
        <v>17</v>
      </c>
      <c r="E4" s="26">
        <v>2133</v>
      </c>
      <c r="F4" s="26">
        <v>30</v>
      </c>
      <c r="G4" s="26">
        <v>18</v>
      </c>
    </row>
    <row r="5" spans="1:7" x14ac:dyDescent="0.25">
      <c r="A5" s="2"/>
      <c r="B5" s="51">
        <v>43354</v>
      </c>
      <c r="C5" s="27">
        <v>2301299</v>
      </c>
      <c r="D5" s="27" t="s">
        <v>19</v>
      </c>
      <c r="E5" s="27">
        <v>2133</v>
      </c>
      <c r="F5" s="27">
        <v>5</v>
      </c>
      <c r="G5" s="27">
        <v>21</v>
      </c>
    </row>
    <row r="6" spans="1:7" x14ac:dyDescent="0.25">
      <c r="A6" s="2"/>
      <c r="B6" s="52">
        <v>43355</v>
      </c>
      <c r="C6" s="28">
        <v>2301301</v>
      </c>
      <c r="D6" s="28" t="s">
        <v>20</v>
      </c>
      <c r="E6" s="28">
        <v>2453</v>
      </c>
      <c r="F6" s="28">
        <v>30</v>
      </c>
      <c r="G6" s="28">
        <v>35</v>
      </c>
    </row>
    <row r="7" spans="1:7" x14ac:dyDescent="0.25">
      <c r="A7" s="2"/>
      <c r="B7" s="51">
        <v>43356</v>
      </c>
      <c r="C7" s="27">
        <v>2301302</v>
      </c>
      <c r="D7" s="27" t="s">
        <v>18</v>
      </c>
      <c r="E7" s="27">
        <v>2455</v>
      </c>
      <c r="F7" s="27">
        <v>35</v>
      </c>
      <c r="G7" s="27">
        <v>18</v>
      </c>
    </row>
    <row r="8" spans="1:7" x14ac:dyDescent="0.25">
      <c r="A8" s="2"/>
      <c r="B8" s="52">
        <v>43360</v>
      </c>
      <c r="C8" s="28">
        <v>2301312</v>
      </c>
      <c r="D8" s="28" t="s">
        <v>18</v>
      </c>
      <c r="E8" s="28">
        <v>2333</v>
      </c>
      <c r="F8" s="28">
        <v>10</v>
      </c>
      <c r="G8" s="28">
        <v>35</v>
      </c>
    </row>
    <row r="9" spans="1:7" x14ac:dyDescent="0.25">
      <c r="A9" s="2"/>
      <c r="B9" s="51">
        <v>43363</v>
      </c>
      <c r="C9" s="27">
        <v>2301322</v>
      </c>
      <c r="D9" s="27" t="s">
        <v>19</v>
      </c>
      <c r="E9" s="27">
        <v>2354</v>
      </c>
      <c r="F9" s="27">
        <v>6</v>
      </c>
      <c r="G9" s="27">
        <v>23</v>
      </c>
    </row>
    <row r="10" spans="1:7" x14ac:dyDescent="0.25">
      <c r="A10" s="2"/>
      <c r="B10" s="52">
        <v>43364</v>
      </c>
      <c r="C10" s="28">
        <v>2301334</v>
      </c>
      <c r="D10" s="28" t="s">
        <v>17</v>
      </c>
      <c r="E10" s="28">
        <v>2333</v>
      </c>
      <c r="F10" s="28">
        <v>15</v>
      </c>
      <c r="G10" s="28">
        <v>21</v>
      </c>
    </row>
    <row r="11" spans="1:7" x14ac:dyDescent="0.25">
      <c r="A11" s="2"/>
      <c r="B11" s="51">
        <v>43367</v>
      </c>
      <c r="C11" s="27">
        <v>2301336</v>
      </c>
      <c r="D11" s="27" t="s">
        <v>17</v>
      </c>
      <c r="E11" s="27">
        <v>2133</v>
      </c>
      <c r="F11" s="27">
        <v>20</v>
      </c>
      <c r="G11" s="27">
        <v>21</v>
      </c>
    </row>
    <row r="12" spans="1:7" x14ac:dyDescent="0.25">
      <c r="A12" s="2"/>
      <c r="B12" s="52">
        <v>43370</v>
      </c>
      <c r="C12" s="28">
        <v>2301338</v>
      </c>
      <c r="D12" s="28" t="s">
        <v>18</v>
      </c>
      <c r="E12" s="28">
        <v>2354</v>
      </c>
      <c r="F12" s="28">
        <v>7</v>
      </c>
      <c r="G12" s="28">
        <v>18</v>
      </c>
    </row>
    <row r="13" spans="1:7" x14ac:dyDescent="0.25">
      <c r="A13" s="2"/>
      <c r="B13" s="51">
        <v>43370</v>
      </c>
      <c r="C13" s="27">
        <v>2301340</v>
      </c>
      <c r="D13" s="27" t="s">
        <v>19</v>
      </c>
      <c r="E13" s="27">
        <v>2333</v>
      </c>
      <c r="F13" s="27">
        <v>12</v>
      </c>
      <c r="G13" s="27">
        <v>23</v>
      </c>
    </row>
    <row r="14" spans="1:7" x14ac:dyDescent="0.25">
      <c r="A14" s="2"/>
      <c r="B14" s="52">
        <v>43371</v>
      </c>
      <c r="C14" s="28">
        <v>2301342</v>
      </c>
      <c r="D14" s="28" t="s">
        <v>17</v>
      </c>
      <c r="E14" s="28">
        <v>2354</v>
      </c>
      <c r="F14" s="28">
        <v>20</v>
      </c>
      <c r="G14" s="28">
        <v>35</v>
      </c>
    </row>
    <row r="16" spans="1:7" x14ac:dyDescent="0.25">
      <c r="B16" s="37" t="s">
        <v>3</v>
      </c>
      <c r="C16" s="37" t="s">
        <v>9</v>
      </c>
      <c r="D16" s="37" t="s">
        <v>10</v>
      </c>
      <c r="E16" s="37" t="s">
        <v>23</v>
      </c>
      <c r="F16" s="37" t="s">
        <v>24</v>
      </c>
    </row>
    <row r="17" spans="2:6" x14ac:dyDescent="0.25">
      <c r="B17" s="25" t="s">
        <v>6</v>
      </c>
      <c r="C17" s="25">
        <v>2354</v>
      </c>
      <c r="D17" s="29">
        <v>145.80000000000001</v>
      </c>
      <c r="E17" s="30">
        <f>SUMIF(E$3:E$14,C17,F$3:F$14)</f>
        <v>33</v>
      </c>
      <c r="F17" s="29">
        <f>PRODUCT(D17:E17)</f>
        <v>4811.4000000000005</v>
      </c>
    </row>
    <row r="18" spans="2:6" x14ac:dyDescent="0.25">
      <c r="B18" s="26" t="s">
        <v>22</v>
      </c>
      <c r="C18" s="26">
        <v>2455</v>
      </c>
      <c r="D18" s="31">
        <v>38.9</v>
      </c>
      <c r="E18" s="32">
        <f t="shared" ref="E18:E22" si="0">SUMIF(E$3:E$14,C18,F$3:F$14)</f>
        <v>57</v>
      </c>
      <c r="F18" s="31">
        <f t="shared" ref="F18:F21" si="1">PRODUCT(D18:E18)</f>
        <v>2217.2999999999997</v>
      </c>
    </row>
    <row r="19" spans="2:6" x14ac:dyDescent="0.25">
      <c r="B19" s="25" t="s">
        <v>7</v>
      </c>
      <c r="C19" s="25">
        <v>2333</v>
      </c>
      <c r="D19" s="29">
        <v>120</v>
      </c>
      <c r="E19" s="30">
        <f t="shared" si="0"/>
        <v>37</v>
      </c>
      <c r="F19" s="29">
        <f t="shared" si="1"/>
        <v>4440</v>
      </c>
    </row>
    <row r="20" spans="2:6" x14ac:dyDescent="0.25">
      <c r="B20" s="26" t="s">
        <v>8</v>
      </c>
      <c r="C20" s="26">
        <v>2133</v>
      </c>
      <c r="D20" s="31">
        <v>14.9</v>
      </c>
      <c r="E20" s="32">
        <f t="shared" si="0"/>
        <v>55</v>
      </c>
      <c r="F20" s="31">
        <f t="shared" si="1"/>
        <v>819.5</v>
      </c>
    </row>
    <row r="21" spans="2:6" x14ac:dyDescent="0.25">
      <c r="B21" s="25" t="s">
        <v>21</v>
      </c>
      <c r="C21" s="25">
        <v>2453</v>
      </c>
      <c r="D21" s="29">
        <v>279</v>
      </c>
      <c r="E21" s="30">
        <f t="shared" si="0"/>
        <v>30</v>
      </c>
      <c r="F21" s="29">
        <f t="shared" si="1"/>
        <v>8370</v>
      </c>
    </row>
    <row r="22" spans="2:6" x14ac:dyDescent="0.25">
      <c r="B22" s="2"/>
      <c r="C22" s="2"/>
      <c r="D22" s="2"/>
      <c r="E22" s="1"/>
      <c r="F22" s="2"/>
    </row>
    <row r="23" spans="2:6" x14ac:dyDescent="0.25">
      <c r="B23" s="38" t="s">
        <v>11</v>
      </c>
      <c r="C23" s="39" t="s">
        <v>9</v>
      </c>
      <c r="D23" s="39" t="s">
        <v>14</v>
      </c>
      <c r="E23" s="40" t="s">
        <v>25</v>
      </c>
    </row>
    <row r="24" spans="2:6" x14ac:dyDescent="0.25">
      <c r="B24" s="41" t="s">
        <v>12</v>
      </c>
      <c r="C24" s="33">
        <v>21</v>
      </c>
      <c r="D24" s="34">
        <v>0.03</v>
      </c>
      <c r="E24" s="53">
        <f>F32</f>
        <v>65.174999999999997</v>
      </c>
      <c r="F24" s="5"/>
    </row>
    <row r="25" spans="2:6" x14ac:dyDescent="0.25">
      <c r="B25" s="43" t="s">
        <v>13</v>
      </c>
      <c r="C25" s="35">
        <v>18</v>
      </c>
      <c r="D25" s="36">
        <v>0.04</v>
      </c>
      <c r="E25" s="44"/>
      <c r="F25" s="5"/>
    </row>
    <row r="26" spans="2:6" x14ac:dyDescent="0.25">
      <c r="B26" s="41" t="s">
        <v>15</v>
      </c>
      <c r="C26" s="33">
        <v>23</v>
      </c>
      <c r="D26" s="34">
        <v>0.02</v>
      </c>
      <c r="E26" s="42"/>
      <c r="F26" s="5"/>
    </row>
    <row r="27" spans="2:6" x14ac:dyDescent="0.25">
      <c r="B27" s="45" t="s">
        <v>16</v>
      </c>
      <c r="C27" s="46">
        <v>35</v>
      </c>
      <c r="D27" s="47">
        <v>0.03</v>
      </c>
      <c r="E27" s="48"/>
      <c r="F27" s="5"/>
    </row>
    <row r="28" spans="2:6" x14ac:dyDescent="0.25">
      <c r="D28" s="3"/>
      <c r="E28" s="4"/>
      <c r="F28" s="6"/>
    </row>
    <row r="29" spans="2:6" ht="15.75" thickBot="1" x14ac:dyDescent="0.3"/>
    <row r="30" spans="2:6" x14ac:dyDescent="0.25">
      <c r="B30" s="12" t="s">
        <v>26</v>
      </c>
      <c r="C30" s="13"/>
      <c r="D30" s="13"/>
      <c r="E30" s="13"/>
      <c r="F30" s="14"/>
    </row>
    <row r="31" spans="2:6" ht="30" x14ac:dyDescent="0.25">
      <c r="B31" s="15" t="s">
        <v>27</v>
      </c>
      <c r="C31" s="7" t="s">
        <v>23</v>
      </c>
      <c r="D31" s="7" t="s">
        <v>24</v>
      </c>
      <c r="E31" s="7" t="s">
        <v>14</v>
      </c>
      <c r="F31" s="16" t="s">
        <v>28</v>
      </c>
    </row>
    <row r="32" spans="2:6" x14ac:dyDescent="0.25">
      <c r="B32" s="17">
        <v>2354</v>
      </c>
      <c r="C32" s="8">
        <f>SUMIFS(F$3:F$14,E$3:E$14,B32,G$3:G$14,C$24)</f>
        <v>0</v>
      </c>
      <c r="D32" s="9">
        <f>C32*D17</f>
        <v>0</v>
      </c>
      <c r="E32" s="9">
        <f>D32*D$24</f>
        <v>0</v>
      </c>
      <c r="F32" s="18">
        <f>SUM(E32:E36)</f>
        <v>65.174999999999997</v>
      </c>
    </row>
    <row r="33" spans="2:6" x14ac:dyDescent="0.25">
      <c r="B33" s="19">
        <v>2455</v>
      </c>
      <c r="C33" s="10">
        <f t="shared" ref="C33:C36" si="2">SUMIFS(F$3:F$14,E$3:E$14,B33,G$3:G$14,C$24)</f>
        <v>0</v>
      </c>
      <c r="D33" s="11">
        <f t="shared" ref="D33:D36" si="3">C33*D18</f>
        <v>0</v>
      </c>
      <c r="E33" s="11">
        <f t="shared" ref="E33:E36" si="4">D33*D$24</f>
        <v>0</v>
      </c>
      <c r="F33" s="20"/>
    </row>
    <row r="34" spans="2:6" x14ac:dyDescent="0.25">
      <c r="B34" s="17">
        <v>2333</v>
      </c>
      <c r="C34" s="8">
        <f t="shared" si="2"/>
        <v>15</v>
      </c>
      <c r="D34" s="9">
        <f t="shared" si="3"/>
        <v>1800</v>
      </c>
      <c r="E34" s="9">
        <f t="shared" si="4"/>
        <v>54</v>
      </c>
      <c r="F34" s="20"/>
    </row>
    <row r="35" spans="2:6" x14ac:dyDescent="0.25">
      <c r="B35" s="19">
        <v>2133</v>
      </c>
      <c r="C35" s="10">
        <f t="shared" si="2"/>
        <v>25</v>
      </c>
      <c r="D35" s="11">
        <f t="shared" si="3"/>
        <v>372.5</v>
      </c>
      <c r="E35" s="11">
        <f t="shared" si="4"/>
        <v>11.174999999999999</v>
      </c>
      <c r="F35" s="20"/>
    </row>
    <row r="36" spans="2:6" ht="15.75" thickBot="1" x14ac:dyDescent="0.3">
      <c r="B36" s="21">
        <v>2453</v>
      </c>
      <c r="C36" s="22">
        <f t="shared" si="2"/>
        <v>0</v>
      </c>
      <c r="D36" s="23">
        <f t="shared" si="3"/>
        <v>0</v>
      </c>
      <c r="E36" s="23">
        <f t="shared" si="4"/>
        <v>0</v>
      </c>
      <c r="F36" s="24"/>
    </row>
  </sheetData>
  <mergeCells count="2">
    <mergeCell ref="B30:F30"/>
    <mergeCell ref="F32:F3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NATANAEL DOS SANTOS MIZZONE</cp:lastModifiedBy>
  <dcterms:created xsi:type="dcterms:W3CDTF">2018-09-19T14:14:18Z</dcterms:created>
  <dcterms:modified xsi:type="dcterms:W3CDTF">2025-10-17T01:16:28Z</dcterms:modified>
</cp:coreProperties>
</file>